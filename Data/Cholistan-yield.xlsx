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25DA38BD-5A66-4F1F-9022-84EF9C9AFF69}" xr6:coauthVersionLast="47" xr6:coauthVersionMax="47" xr10:uidLastSave="{00000000-0000-0000-0000-000000000000}"/>
  <bookViews>
    <workbookView xWindow="30144" yWindow="1284" windowWidth="17280" windowHeight="8880" xr2:uid="{00000000-000D-0000-FFFF-FFFF00000000}"/>
  </bookViews>
  <sheets>
    <sheet name="Misc Detail - Y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2" i="1" l="1"/>
  <c r="E20" i="1"/>
  <c r="F86" i="1"/>
  <c r="E41" i="1" l="1"/>
  <c r="E64" i="1" l="1"/>
</calcChain>
</file>

<file path=xl/sharedStrings.xml><?xml version="1.0" encoding="utf-8"?>
<sst xmlns="http://schemas.openxmlformats.org/spreadsheetml/2006/main" count="384" uniqueCount="254">
  <si>
    <t>Ser</t>
  </si>
  <si>
    <t>Name of Contr</t>
  </si>
  <si>
    <t>Muhammad Maqbool S/O Umar Din</t>
  </si>
  <si>
    <t>Muhammad Yousaf S/O Muhammad Abbas</t>
  </si>
  <si>
    <t>Muhammad Shakeel Anwar S/O Muhammad Anwar</t>
  </si>
  <si>
    <t>Khizar Hayat S/O Ghulam Nabi</t>
  </si>
  <si>
    <t>Kareem Bakhsh S/O Muhammad Qaim</t>
  </si>
  <si>
    <t>Muhammad Waheed S/O Mehmood Ul Hassan</t>
  </si>
  <si>
    <t>Muhammad Ilyas S/O Allah Bakhsh</t>
  </si>
  <si>
    <t>Muhammad Ajmal S/O Muhammad Amin</t>
  </si>
  <si>
    <t>Moazam Hussain S/O Muhammad Hussain</t>
  </si>
  <si>
    <t>Muhammad Mushtaq S/O Abdul Malik</t>
  </si>
  <si>
    <t>Muhammad Asif S/O Allah Bachaya</t>
  </si>
  <si>
    <t>Muhammad Dilshad S/O Abdul Sattar</t>
  </si>
  <si>
    <t>Mian Afzal S/O muhammad Sadiq</t>
  </si>
  <si>
    <t>Mujeeb S/O Sadiq</t>
  </si>
  <si>
    <t xml:space="preserve">Tahir Mehmood </t>
  </si>
  <si>
    <t>Muhammad Farooq (Chahal)</t>
  </si>
  <si>
    <t>Muhammad Riaz S/O G Sarwar</t>
  </si>
  <si>
    <t xml:space="preserve">M Zeshan S/O M Afzal </t>
  </si>
  <si>
    <t>M Sabir S/O Noor Muhammad</t>
  </si>
  <si>
    <t>CNIC</t>
  </si>
  <si>
    <t>31205-5318281-7</t>
  </si>
  <si>
    <t>31205-6633116-3</t>
  </si>
  <si>
    <t>31202-0319470-5</t>
  </si>
  <si>
    <t>31103-8108890-7</t>
  </si>
  <si>
    <t>31205-1643822-1</t>
  </si>
  <si>
    <t>31103-1142853-5</t>
  </si>
  <si>
    <t>31205-1017577-3</t>
  </si>
  <si>
    <t>31205-1660964-5</t>
  </si>
  <si>
    <t>31103-4430959-5</t>
  </si>
  <si>
    <t>31103-1172242-3</t>
  </si>
  <si>
    <t>31202-0329055-1</t>
  </si>
  <si>
    <t>31205-1626773-1</t>
  </si>
  <si>
    <t>31205-7801716-1</t>
  </si>
  <si>
    <t>31202-8088450-9</t>
  </si>
  <si>
    <t>31205-1628560-9</t>
  </si>
  <si>
    <t>Abdul Aleem S/O Mubin</t>
  </si>
  <si>
    <t>31303-2445502-1</t>
  </si>
  <si>
    <t>0345-8880432</t>
  </si>
  <si>
    <t>0344-7189732</t>
  </si>
  <si>
    <t>0303-7467430</t>
  </si>
  <si>
    <t>0347-1585327</t>
  </si>
  <si>
    <t>0345-8711571</t>
  </si>
  <si>
    <t>0343-7014030</t>
  </si>
  <si>
    <t>0345-8751268</t>
  </si>
  <si>
    <t>0345-8751269</t>
  </si>
  <si>
    <t>Khalid Nadeem S/O Hafiz Bashir Ahmed</t>
  </si>
  <si>
    <t>0345-6010531</t>
  </si>
  <si>
    <t>0345-1613709</t>
  </si>
  <si>
    <t>0300-9674437</t>
  </si>
  <si>
    <t>0300-3938311</t>
  </si>
  <si>
    <t>0342-7200088</t>
  </si>
  <si>
    <t>0345-4392571</t>
  </si>
  <si>
    <t>0345-2544384</t>
  </si>
  <si>
    <t>0334-9606071</t>
  </si>
  <si>
    <t>0347-3452341</t>
  </si>
  <si>
    <t>31202-2617355-3</t>
  </si>
  <si>
    <t>-</t>
  </si>
  <si>
    <t>0300-8683636</t>
  </si>
  <si>
    <t>Malik Zaffar Wahgi S/O Malik Shah Muhammad</t>
  </si>
  <si>
    <t>Saed Rasool Shah S/O Ghafoor Shah</t>
  </si>
  <si>
    <t>31202-0225446-9</t>
  </si>
  <si>
    <t>0300-6822562</t>
  </si>
  <si>
    <t>31205-6227865-5</t>
  </si>
  <si>
    <t>0345-1074139</t>
  </si>
  <si>
    <t>31103-2238193-1</t>
  </si>
  <si>
    <t>0344-7415445</t>
  </si>
  <si>
    <t>33301-3561329-1</t>
  </si>
  <si>
    <t>0344-7262140</t>
  </si>
  <si>
    <t>31103-4954424-1</t>
  </si>
  <si>
    <t>0345-8729689</t>
  </si>
  <si>
    <t>Israr Hussain S/o Abdul Jabbar</t>
  </si>
  <si>
    <t>42401-3244510-1</t>
  </si>
  <si>
    <t>0302-2523327</t>
  </si>
  <si>
    <t>Muhammad Shahid Nadeem S/O Muhammad rafique</t>
  </si>
  <si>
    <t>31103-3470967-1</t>
  </si>
  <si>
    <t>0346-2638315</t>
  </si>
  <si>
    <t>Muhammad Zahid Nadeem S/O Muhammad rafique</t>
  </si>
  <si>
    <t>36501-3723989-1</t>
  </si>
  <si>
    <t>31103-1153053-7</t>
  </si>
  <si>
    <t>Adnan Sarwar S/O Muhammad Sarwar</t>
  </si>
  <si>
    <t>31103-3182733-7</t>
  </si>
  <si>
    <t>M Irfan S/O M Boota</t>
  </si>
  <si>
    <t>31103-1143833-7</t>
  </si>
  <si>
    <t>M Sajid S/O M Shareef</t>
  </si>
  <si>
    <t>31103-9439964-5</t>
  </si>
  <si>
    <t>Shoukat Ali S/O Nazeer  Ahmed</t>
  </si>
  <si>
    <t>311037194219-7</t>
  </si>
  <si>
    <t>M Dastgeer S/O Ghalam Ghouse</t>
  </si>
  <si>
    <t>M Rashid SO  Shadeen Muhammad</t>
  </si>
  <si>
    <t>31202-4859738-3</t>
  </si>
  <si>
    <t>31103-4359571-3</t>
  </si>
  <si>
    <t>Contact No</t>
  </si>
  <si>
    <t>Contract Land</t>
  </si>
  <si>
    <t>Muhammad Shamir s/O Muhammad Ismail</t>
  </si>
  <si>
    <t>Muhammad Majid S/O Muhammad Sharif</t>
  </si>
  <si>
    <t>Muhammad Iqbal S/O Mehmood ul Hassan</t>
  </si>
  <si>
    <t>0344-7177934</t>
  </si>
  <si>
    <t>31103-8258216-3</t>
  </si>
  <si>
    <t>0345-2005425</t>
  </si>
  <si>
    <t>Muhammad Pervaiz S/O Abdul Shakoor</t>
  </si>
  <si>
    <t>31205-9826259-7</t>
  </si>
  <si>
    <t>346-3800044</t>
  </si>
  <si>
    <t>Muhammad Adnan S/O Shabbir Ahmad</t>
  </si>
  <si>
    <t>31205-6636121-3</t>
  </si>
  <si>
    <t>Hafiz Jaffar S/O Molvi Allah Ditta</t>
  </si>
  <si>
    <t>31205-1643811-7</t>
  </si>
  <si>
    <t>M.Yousaf S/O Allah Bachaya</t>
  </si>
  <si>
    <t>31205-7485625-5</t>
  </si>
  <si>
    <t>M.Bilal AnwarS/O Anwar Ali</t>
  </si>
  <si>
    <t>Muzamal S/O M.Ishaq &amp; Haji Aamir</t>
  </si>
  <si>
    <t>Abdul Hameed S/O M.Nawaz</t>
  </si>
  <si>
    <t>31205-5870006-7</t>
  </si>
  <si>
    <t>0346-0625797</t>
  </si>
  <si>
    <t>M.Shabbir S/O Khuda Bakhsh</t>
  </si>
  <si>
    <t>31205-5152803-1</t>
  </si>
  <si>
    <t>0346-8879283</t>
  </si>
  <si>
    <t>Shamshad Ahmed S/O M shareef</t>
  </si>
  <si>
    <t>31103-0606530-9</t>
  </si>
  <si>
    <t>0300-6835311</t>
  </si>
  <si>
    <t>Usama Danish S/O Iftikhar Ahmed</t>
  </si>
  <si>
    <t>61101-1064753-1</t>
  </si>
  <si>
    <t>0333-5274017</t>
  </si>
  <si>
    <t>M.Asghar S/O M.Ramzan</t>
  </si>
  <si>
    <t>31205-5267426-9</t>
  </si>
  <si>
    <t>0346-8871901</t>
  </si>
  <si>
    <t xml:space="preserve">Muzamil Hussain S/O M.Ishaq </t>
  </si>
  <si>
    <t>31103-24902221-5</t>
  </si>
  <si>
    <t>0346-2623978</t>
  </si>
  <si>
    <t>Allah Yar S/O Babar Khan</t>
  </si>
  <si>
    <t>31205-6068122-9</t>
  </si>
  <si>
    <t>345-9132353</t>
  </si>
  <si>
    <t xml:space="preserve">Jaffar Hussain S/O M.Tofail </t>
  </si>
  <si>
    <t>31103-9783422-5</t>
  </si>
  <si>
    <t>0342-7287255</t>
  </si>
  <si>
    <t>Dalshad Ahmad S/O Allah Baksh</t>
  </si>
  <si>
    <t>0342-7395356</t>
  </si>
  <si>
    <t>M.Imran S/O M.Aslam</t>
  </si>
  <si>
    <t>31205-0216720-5</t>
  </si>
  <si>
    <t>0346-8827329</t>
  </si>
  <si>
    <t>Ghulam Mustafa S/O M.Ramzan</t>
  </si>
  <si>
    <t>31205-6555456-9</t>
  </si>
  <si>
    <t>0345-8568353</t>
  </si>
  <si>
    <t>M.Akbar S/O Wali Muhammad</t>
  </si>
  <si>
    <t>0346-7205354</t>
  </si>
  <si>
    <t>31205-1613021-3</t>
  </si>
  <si>
    <t>Ghulam  yasin S/O M.Nawaz</t>
  </si>
  <si>
    <t>31204-1655487-1</t>
  </si>
  <si>
    <t>0341-7212253</t>
  </si>
  <si>
    <t>31205-1613032-5</t>
  </si>
  <si>
    <t>0342-8853809</t>
  </si>
  <si>
    <t>31205-0773724-3</t>
  </si>
  <si>
    <t>0300-6804093</t>
  </si>
  <si>
    <t>0341-1580671</t>
  </si>
  <si>
    <t>M.Mushtaq S/O Abdul Sattar</t>
  </si>
  <si>
    <t>35202-5799642-3</t>
  </si>
  <si>
    <t>0345-4853499</t>
  </si>
  <si>
    <t>Wheat</t>
  </si>
  <si>
    <t xml:space="preserve">     Cult</t>
  </si>
  <si>
    <t xml:space="preserve">    Non / Cult</t>
  </si>
  <si>
    <t>Detail of  Rabi Crops</t>
  </si>
  <si>
    <t>Sana Ullah S/O M Abbas</t>
  </si>
  <si>
    <t>31103-9863553-9</t>
  </si>
  <si>
    <t>0300-4451317</t>
  </si>
  <si>
    <t>31202-9299954-5</t>
  </si>
  <si>
    <t>31205-0639168-7</t>
  </si>
  <si>
    <t>0346-8809220</t>
  </si>
  <si>
    <t>0300-7673673</t>
  </si>
  <si>
    <t>0346-3800043</t>
  </si>
  <si>
    <t>Mohsan Nazir S/O Nazir Ahmed</t>
  </si>
  <si>
    <t>31205-2108192-7</t>
  </si>
  <si>
    <t>Jewan Khan S/O M. Bakhsh</t>
  </si>
  <si>
    <t>31205-1424794-7</t>
  </si>
  <si>
    <t>0344-7179561</t>
  </si>
  <si>
    <t>Aurang Zeb S/O Haji Abdul Malik</t>
  </si>
  <si>
    <t>Bilal Siddiqi</t>
  </si>
  <si>
    <t>42000-7780618-1</t>
  </si>
  <si>
    <t>Munir Ahmed</t>
  </si>
  <si>
    <t>35402-1967593-9</t>
  </si>
  <si>
    <t>Rana Tariq</t>
  </si>
  <si>
    <t>36302-1483872-5</t>
  </si>
  <si>
    <t>Asim Virk</t>
  </si>
  <si>
    <t>Tahir Iqbal</t>
  </si>
  <si>
    <t>36502-0510282-9</t>
  </si>
  <si>
    <t>Sajid Khan</t>
  </si>
  <si>
    <t>31202-5647735-1</t>
  </si>
  <si>
    <t>Muzzam Khan, Shahid mehmood</t>
  </si>
  <si>
    <t>32302-5646765-5</t>
  </si>
  <si>
    <t>Farooq Azam</t>
  </si>
  <si>
    <t>312054734243-4</t>
  </si>
  <si>
    <t>Miss Shajiya</t>
  </si>
  <si>
    <t>37405-4734243-4</t>
  </si>
  <si>
    <t>M Taimoor</t>
  </si>
  <si>
    <t>31303-9083187-5</t>
  </si>
  <si>
    <t>Ghulam Murtaza</t>
  </si>
  <si>
    <t>31205-1428-931-2</t>
  </si>
  <si>
    <t>Rana Waqas</t>
  </si>
  <si>
    <t>31103-4059949-7</t>
  </si>
  <si>
    <t>Total</t>
  </si>
  <si>
    <t>2200/1180</t>
  </si>
  <si>
    <t>Misc Details - Yield Enhancement Progm (19030 x Acres)</t>
  </si>
  <si>
    <t>Moujgarh - 3000 x Acres Land (Zone 3)</t>
  </si>
  <si>
    <t>Moujgarh - 2600 x Acres Land (Zone 2)</t>
  </si>
  <si>
    <t xml:space="preserve"> Moujgarh - 2200 x Acres Land (Zone 1)</t>
  </si>
  <si>
    <t>M.Afzal S/O M.Ramzan</t>
  </si>
  <si>
    <t>Mansoora &amp; Chapu - 860 x Acres Land</t>
  </si>
  <si>
    <t>Raya/RG</t>
  </si>
  <si>
    <t>Moujgarh - 10370 x Acres Land(MF)</t>
  </si>
  <si>
    <t>9144*</t>
  </si>
  <si>
    <t>Akbar</t>
  </si>
  <si>
    <t>Urooj</t>
  </si>
  <si>
    <t>Faisalabad</t>
  </si>
  <si>
    <t>AKbar</t>
  </si>
  <si>
    <t>Variety</t>
  </si>
  <si>
    <t>Quantity</t>
  </si>
  <si>
    <t>Hybird</t>
  </si>
  <si>
    <t>Sultan</t>
  </si>
  <si>
    <t>Sohni Dharti</t>
  </si>
  <si>
    <t>Hybrid</t>
  </si>
  <si>
    <t>Super</t>
  </si>
  <si>
    <t>Khan Puri</t>
  </si>
  <si>
    <t>Lasani</t>
  </si>
  <si>
    <t>Dilkash</t>
  </si>
  <si>
    <t>Nishan/Akbar</t>
  </si>
  <si>
    <t>Akbar/Dilkash</t>
  </si>
  <si>
    <t>Faisalabad/Akbar</t>
  </si>
  <si>
    <t>Faisal abad</t>
  </si>
  <si>
    <t>Khanpuri</t>
  </si>
  <si>
    <t>45M47</t>
  </si>
  <si>
    <t>Nawab/Fakhr e Bhakhar</t>
  </si>
  <si>
    <t>Dikash</t>
  </si>
  <si>
    <t>Dilkash/Akbar/Nawab</t>
  </si>
  <si>
    <t>Dilkash/Akbar</t>
  </si>
  <si>
    <t>Falak</t>
  </si>
  <si>
    <t>Dilkash/Urooj</t>
  </si>
  <si>
    <t>Fakhar e bakhar</t>
  </si>
  <si>
    <t>Cansu</t>
  </si>
  <si>
    <t>Swat</t>
  </si>
  <si>
    <t>Akbbar/ Dilkash</t>
  </si>
  <si>
    <t>Faislabad</t>
  </si>
  <si>
    <t>super</t>
  </si>
  <si>
    <t>Magsum</t>
  </si>
  <si>
    <t>DillKash/Falak/Tara</t>
  </si>
  <si>
    <t>Sawera/Dillkash/Australian</t>
  </si>
  <si>
    <t>Sawera/Dillkash/Akbar</t>
  </si>
  <si>
    <t>Sawera/Dillkash/Fakhar e Bhakhar</t>
  </si>
  <si>
    <t>Akbar/Nishan21/Urooj</t>
  </si>
  <si>
    <t>Fakh e Star/Urooj/Dillkash</t>
  </si>
  <si>
    <t>Fakhar e Bhakhar/Fakhar e Star/cazola/dillkash</t>
  </si>
  <si>
    <t>Dillkash</t>
  </si>
  <si>
    <t>Fakhar e Bhakhar</t>
  </si>
  <si>
    <t>Rhodes grass</t>
  </si>
  <si>
    <t>Akbbar/ Arooj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</si>
</sst>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2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60" zoomScaleNormal="60" workbookViewId="0">
      <pane ySplit="1" topLeftCell="A23" activePane="bottomLeft" state="frozen"/>
      <selection pane="bottomLeft" activeCell="E59" sqref="E59"/>
    </sheetView>
  </sheetViews>
  <sheetFormatPr defaultRowHeight="14.4" x14ac:dyDescent="0.3"/>
  <cols>
    <col min="1" max="1" width="4" bestFit="1" customWidth="1"/>
    <col min="2" max="2" width="46.77734375" customWidth="1"/>
    <col min="3" max="3" width="26.109375" customWidth="1"/>
    <col min="4" max="4" width="23.21875" customWidth="1"/>
    <col min="5" max="5" width="11.88671875" customWidth="1"/>
    <col min="6" max="6" width="15.5546875" bestFit="1" customWidth="1"/>
    <col min="7" max="7" width="28.6640625" style="3" customWidth="1"/>
    <col min="8" max="9" width="28.77734375" customWidth="1"/>
    <col min="10" max="10" width="18.21875" style="3" customWidth="1"/>
  </cols>
  <sheetData>
    <row r="1" spans="1:10" s="1" customFormat="1" ht="15.6" x14ac:dyDescent="0.25">
      <c r="A1" s="6" t="s">
        <v>201</v>
      </c>
      <c r="B1" s="6"/>
      <c r="C1" s="6"/>
      <c r="D1" s="6"/>
      <c r="E1" s="6"/>
      <c r="F1" s="6"/>
      <c r="G1" s="6"/>
      <c r="H1" s="6"/>
      <c r="I1" s="6"/>
      <c r="J1" s="6"/>
    </row>
    <row r="2" spans="1:10" s="4" customFormat="1" ht="31.05" customHeight="1" x14ac:dyDescent="0.3">
      <c r="A2" s="7" t="s">
        <v>0</v>
      </c>
      <c r="B2" s="7" t="s">
        <v>1</v>
      </c>
      <c r="C2" s="8" t="s">
        <v>21</v>
      </c>
      <c r="D2" s="9" t="s">
        <v>93</v>
      </c>
      <c r="E2" s="10" t="s">
        <v>94</v>
      </c>
      <c r="F2" s="11"/>
      <c r="G2" s="12" t="s">
        <v>161</v>
      </c>
      <c r="H2" s="13"/>
      <c r="I2" s="13"/>
      <c r="J2" s="14"/>
    </row>
    <row r="3" spans="1:10" s="4" customFormat="1" ht="15.6" x14ac:dyDescent="0.3">
      <c r="A3" s="15" t="s">
        <v>204</v>
      </c>
      <c r="B3" s="16"/>
      <c r="C3" s="16"/>
      <c r="D3" s="17"/>
      <c r="E3" s="18" t="s">
        <v>159</v>
      </c>
      <c r="F3" s="18" t="s">
        <v>160</v>
      </c>
      <c r="G3" s="12" t="s">
        <v>158</v>
      </c>
      <c r="H3" s="14"/>
      <c r="I3" s="12" t="s">
        <v>207</v>
      </c>
      <c r="J3" s="14"/>
    </row>
    <row r="4" spans="1:10" s="4" customFormat="1" ht="15.6" x14ac:dyDescent="0.3">
      <c r="A4" s="19"/>
      <c r="B4" s="20"/>
      <c r="C4" s="20"/>
      <c r="D4" s="21"/>
      <c r="E4" s="22"/>
      <c r="F4" s="22"/>
      <c r="G4" s="8" t="s">
        <v>214</v>
      </c>
      <c r="H4" s="8" t="s">
        <v>215</v>
      </c>
      <c r="I4" s="8" t="s">
        <v>214</v>
      </c>
      <c r="J4" s="8" t="s">
        <v>215</v>
      </c>
    </row>
    <row r="5" spans="1:10" s="2" customFormat="1" ht="23.55" customHeight="1" x14ac:dyDescent="0.25">
      <c r="A5" s="23">
        <v>1</v>
      </c>
      <c r="B5" s="24" t="s">
        <v>5</v>
      </c>
      <c r="C5" s="25" t="s">
        <v>22</v>
      </c>
      <c r="D5" s="26" t="s">
        <v>39</v>
      </c>
      <c r="E5" s="23">
        <v>200</v>
      </c>
      <c r="F5" s="23">
        <v>0</v>
      </c>
      <c r="G5" s="26" t="s">
        <v>210</v>
      </c>
      <c r="H5" s="26">
        <v>150</v>
      </c>
      <c r="I5" s="26" t="s">
        <v>216</v>
      </c>
      <c r="J5" s="26">
        <v>50</v>
      </c>
    </row>
    <row r="6" spans="1:10" s="2" customFormat="1" ht="15.6" x14ac:dyDescent="0.25">
      <c r="A6" s="23">
        <v>2</v>
      </c>
      <c r="B6" s="24" t="s">
        <v>6</v>
      </c>
      <c r="C6" s="25" t="s">
        <v>23</v>
      </c>
      <c r="D6" s="26" t="s">
        <v>40</v>
      </c>
      <c r="E6" s="23">
        <v>100</v>
      </c>
      <c r="F6" s="23">
        <v>0</v>
      </c>
      <c r="G6" s="26" t="s">
        <v>210</v>
      </c>
      <c r="H6" s="26">
        <v>50</v>
      </c>
      <c r="I6" s="26" t="s">
        <v>216</v>
      </c>
      <c r="J6" s="26">
        <v>50</v>
      </c>
    </row>
    <row r="7" spans="1:10" s="2" customFormat="1" ht="15.6" x14ac:dyDescent="0.25">
      <c r="A7" s="23">
        <v>3</v>
      </c>
      <c r="B7" s="24" t="s">
        <v>7</v>
      </c>
      <c r="C7" s="25" t="s">
        <v>32</v>
      </c>
      <c r="D7" s="26" t="s">
        <v>41</v>
      </c>
      <c r="E7" s="23">
        <v>177</v>
      </c>
      <c r="F7" s="23">
        <v>0</v>
      </c>
      <c r="G7" s="26" t="s">
        <v>211</v>
      </c>
      <c r="H7" s="26">
        <v>100</v>
      </c>
      <c r="I7" s="26" t="s">
        <v>217</v>
      </c>
      <c r="J7" s="26">
        <v>77</v>
      </c>
    </row>
    <row r="8" spans="1:10" s="2" customFormat="1" ht="15.6" x14ac:dyDescent="0.25">
      <c r="A8" s="23">
        <v>4</v>
      </c>
      <c r="B8" s="27" t="s">
        <v>47</v>
      </c>
      <c r="C8" s="25" t="s">
        <v>25</v>
      </c>
      <c r="D8" s="26" t="s">
        <v>42</v>
      </c>
      <c r="E8" s="23">
        <v>200</v>
      </c>
      <c r="F8" s="23">
        <v>0</v>
      </c>
      <c r="G8" s="26" t="s">
        <v>210</v>
      </c>
      <c r="H8" s="26">
        <v>150</v>
      </c>
      <c r="I8" s="26" t="s">
        <v>218</v>
      </c>
      <c r="J8" s="26">
        <v>50</v>
      </c>
    </row>
    <row r="9" spans="1:10" s="2" customFormat="1" ht="15.6" x14ac:dyDescent="0.25">
      <c r="A9" s="23">
        <v>5</v>
      </c>
      <c r="B9" s="27" t="s">
        <v>9</v>
      </c>
      <c r="C9" s="25" t="s">
        <v>24</v>
      </c>
      <c r="D9" s="26" t="s">
        <v>43</v>
      </c>
      <c r="E9" s="23">
        <v>80</v>
      </c>
      <c r="F9" s="23">
        <v>0</v>
      </c>
      <c r="G9" s="26" t="s">
        <v>210</v>
      </c>
      <c r="H9" s="26">
        <v>80</v>
      </c>
      <c r="I9" s="26" t="s">
        <v>58</v>
      </c>
      <c r="J9" s="26" t="s">
        <v>58</v>
      </c>
    </row>
    <row r="10" spans="1:10" s="2" customFormat="1" ht="15.6" x14ac:dyDescent="0.25">
      <c r="A10" s="23">
        <v>6</v>
      </c>
      <c r="B10" s="27" t="s">
        <v>11</v>
      </c>
      <c r="C10" s="25" t="s">
        <v>26</v>
      </c>
      <c r="D10" s="26" t="s">
        <v>44</v>
      </c>
      <c r="E10" s="23">
        <v>150</v>
      </c>
      <c r="F10" s="23">
        <v>0</v>
      </c>
      <c r="G10" s="26" t="s">
        <v>210</v>
      </c>
      <c r="H10" s="26">
        <v>100</v>
      </c>
      <c r="I10" s="26" t="s">
        <v>218</v>
      </c>
      <c r="J10" s="26">
        <v>50</v>
      </c>
    </row>
    <row r="11" spans="1:10" s="2" customFormat="1" ht="15.6" x14ac:dyDescent="0.25">
      <c r="A11" s="23">
        <v>7</v>
      </c>
      <c r="B11" s="27" t="s">
        <v>15</v>
      </c>
      <c r="C11" s="25" t="s">
        <v>34</v>
      </c>
      <c r="D11" s="26" t="s">
        <v>45</v>
      </c>
      <c r="E11" s="23">
        <v>300</v>
      </c>
      <c r="F11" s="23">
        <v>0</v>
      </c>
      <c r="G11" s="26" t="s">
        <v>210</v>
      </c>
      <c r="H11" s="26">
        <v>250</v>
      </c>
      <c r="I11" s="26" t="s">
        <v>218</v>
      </c>
      <c r="J11" s="26">
        <v>50</v>
      </c>
    </row>
    <row r="12" spans="1:10" s="2" customFormat="1" ht="15.6" x14ac:dyDescent="0.25">
      <c r="A12" s="23">
        <v>8</v>
      </c>
      <c r="B12" s="24" t="s">
        <v>14</v>
      </c>
      <c r="C12" s="25" t="s">
        <v>33</v>
      </c>
      <c r="D12" s="26" t="s">
        <v>46</v>
      </c>
      <c r="E12" s="23">
        <v>250</v>
      </c>
      <c r="F12" s="23">
        <v>0</v>
      </c>
      <c r="G12" s="26" t="s">
        <v>210</v>
      </c>
      <c r="H12" s="26">
        <v>150</v>
      </c>
      <c r="I12" s="26" t="s">
        <v>218</v>
      </c>
      <c r="J12" s="26">
        <v>100</v>
      </c>
    </row>
    <row r="13" spans="1:10" s="2" customFormat="1" ht="15.6" x14ac:dyDescent="0.25">
      <c r="A13" s="23">
        <v>9</v>
      </c>
      <c r="B13" s="27" t="s">
        <v>8</v>
      </c>
      <c r="C13" s="25" t="s">
        <v>35</v>
      </c>
      <c r="D13" s="26" t="s">
        <v>48</v>
      </c>
      <c r="E13" s="23">
        <v>100</v>
      </c>
      <c r="F13" s="23">
        <v>0</v>
      </c>
      <c r="G13" s="26" t="s">
        <v>210</v>
      </c>
      <c r="H13" s="26">
        <v>50</v>
      </c>
      <c r="I13" s="26" t="s">
        <v>219</v>
      </c>
      <c r="J13" s="26">
        <v>50</v>
      </c>
    </row>
    <row r="14" spans="1:10" s="2" customFormat="1" ht="15.6" x14ac:dyDescent="0.25">
      <c r="A14" s="23">
        <v>10</v>
      </c>
      <c r="B14" s="27" t="s">
        <v>95</v>
      </c>
      <c r="C14" s="25"/>
      <c r="D14" s="26" t="s">
        <v>98</v>
      </c>
      <c r="E14" s="23">
        <v>100</v>
      </c>
      <c r="F14" s="23">
        <v>0</v>
      </c>
      <c r="G14" s="26" t="s">
        <v>212</v>
      </c>
      <c r="H14" s="26">
        <v>50</v>
      </c>
      <c r="I14" s="26" t="s">
        <v>220</v>
      </c>
      <c r="J14" s="26">
        <v>50</v>
      </c>
    </row>
    <row r="15" spans="1:10" s="2" customFormat="1" ht="21" customHeight="1" x14ac:dyDescent="0.25">
      <c r="A15" s="23">
        <v>11</v>
      </c>
      <c r="B15" s="27" t="s">
        <v>16</v>
      </c>
      <c r="C15" s="25" t="s">
        <v>29</v>
      </c>
      <c r="D15" s="26" t="s">
        <v>49</v>
      </c>
      <c r="E15" s="23">
        <v>100</v>
      </c>
      <c r="F15" s="23">
        <v>0</v>
      </c>
      <c r="G15" s="26" t="s">
        <v>211</v>
      </c>
      <c r="H15" s="26">
        <v>50</v>
      </c>
      <c r="I15" s="26" t="s">
        <v>221</v>
      </c>
      <c r="J15" s="26">
        <v>50</v>
      </c>
    </row>
    <row r="16" spans="1:10" s="2" customFormat="1" ht="21" customHeight="1" x14ac:dyDescent="0.25">
      <c r="A16" s="23">
        <v>12</v>
      </c>
      <c r="B16" s="27" t="s">
        <v>96</v>
      </c>
      <c r="C16" s="25"/>
      <c r="D16" s="26" t="s">
        <v>42</v>
      </c>
      <c r="E16" s="23">
        <v>150</v>
      </c>
      <c r="F16" s="23">
        <v>0</v>
      </c>
      <c r="G16" s="26" t="s">
        <v>210</v>
      </c>
      <c r="H16" s="26">
        <v>100</v>
      </c>
      <c r="I16" s="26" t="s">
        <v>218</v>
      </c>
      <c r="J16" s="26">
        <v>50</v>
      </c>
    </row>
    <row r="17" spans="1:10" s="2" customFormat="1" ht="21" customHeight="1" x14ac:dyDescent="0.25">
      <c r="A17" s="23">
        <v>13</v>
      </c>
      <c r="B17" s="27" t="s">
        <v>175</v>
      </c>
      <c r="C17" s="25" t="s">
        <v>166</v>
      </c>
      <c r="D17" s="26" t="s">
        <v>167</v>
      </c>
      <c r="E17" s="23">
        <v>100</v>
      </c>
      <c r="F17" s="23">
        <v>0</v>
      </c>
      <c r="G17" s="26" t="s">
        <v>211</v>
      </c>
      <c r="H17" s="26">
        <v>100</v>
      </c>
      <c r="I17" s="26" t="s">
        <v>58</v>
      </c>
      <c r="J17" s="26" t="s">
        <v>58</v>
      </c>
    </row>
    <row r="18" spans="1:10" s="2" customFormat="1" ht="21" customHeight="1" x14ac:dyDescent="0.25">
      <c r="A18" s="23">
        <v>14</v>
      </c>
      <c r="B18" s="27" t="s">
        <v>97</v>
      </c>
      <c r="C18" s="25" t="s">
        <v>165</v>
      </c>
      <c r="D18" s="26" t="s">
        <v>41</v>
      </c>
      <c r="E18" s="23">
        <v>57</v>
      </c>
      <c r="F18" s="23">
        <v>0</v>
      </c>
      <c r="G18" s="26" t="s">
        <v>213</v>
      </c>
      <c r="H18" s="26">
        <v>57</v>
      </c>
      <c r="I18" s="26" t="s">
        <v>58</v>
      </c>
      <c r="J18" s="26" t="s">
        <v>58</v>
      </c>
    </row>
    <row r="19" spans="1:10" s="2" customFormat="1" ht="21" customHeight="1" x14ac:dyDescent="0.25">
      <c r="A19" s="23">
        <v>15</v>
      </c>
      <c r="B19" s="27" t="s">
        <v>37</v>
      </c>
      <c r="C19" s="25" t="s">
        <v>38</v>
      </c>
      <c r="D19" s="26" t="s">
        <v>50</v>
      </c>
      <c r="E19" s="23">
        <v>136</v>
      </c>
      <c r="F19" s="23">
        <v>0</v>
      </c>
      <c r="G19" s="26" t="s">
        <v>210</v>
      </c>
      <c r="H19" s="26">
        <v>136</v>
      </c>
      <c r="I19" s="26" t="s">
        <v>58</v>
      </c>
      <c r="J19" s="26" t="s">
        <v>58</v>
      </c>
    </row>
    <row r="20" spans="1:10" s="2" customFormat="1" ht="21" customHeight="1" x14ac:dyDescent="0.25">
      <c r="A20" s="28" t="s">
        <v>199</v>
      </c>
      <c r="B20" s="29"/>
      <c r="C20" s="29"/>
      <c r="D20" s="30"/>
      <c r="E20" s="7">
        <f>SUM(E5:E19)</f>
        <v>2200</v>
      </c>
      <c r="F20" s="7"/>
      <c r="G20" s="26"/>
      <c r="H20" s="31">
        <v>1573</v>
      </c>
      <c r="I20" s="31"/>
      <c r="J20" s="31">
        <v>627</v>
      </c>
    </row>
    <row r="21" spans="1:10" s="1" customFormat="1" ht="22.5" customHeight="1" x14ac:dyDescent="0.25">
      <c r="A21" s="32" t="s">
        <v>203</v>
      </c>
      <c r="B21" s="33"/>
      <c r="C21" s="33"/>
      <c r="D21" s="33"/>
      <c r="E21" s="33"/>
      <c r="F21" s="33"/>
      <c r="G21" s="33"/>
      <c r="H21" s="33"/>
      <c r="I21" s="33"/>
      <c r="J21" s="33"/>
    </row>
    <row r="22" spans="1:10" s="1" customFormat="1" ht="15.6" x14ac:dyDescent="0.25">
      <c r="A22" s="23">
        <v>16</v>
      </c>
      <c r="B22" s="24" t="s">
        <v>2</v>
      </c>
      <c r="C22" s="34" t="s">
        <v>27</v>
      </c>
      <c r="D22" s="35" t="s">
        <v>51</v>
      </c>
      <c r="E22" s="23">
        <v>500</v>
      </c>
      <c r="F22" s="23">
        <v>0</v>
      </c>
      <c r="G22" s="35" t="s">
        <v>222</v>
      </c>
      <c r="H22" s="35">
        <v>500</v>
      </c>
      <c r="I22" s="35"/>
      <c r="J22" s="35" t="s">
        <v>58</v>
      </c>
    </row>
    <row r="23" spans="1:10" s="1" customFormat="1" ht="15.6" x14ac:dyDescent="0.25">
      <c r="A23" s="23">
        <v>17</v>
      </c>
      <c r="B23" s="27" t="s">
        <v>12</v>
      </c>
      <c r="C23" s="34" t="s">
        <v>28</v>
      </c>
      <c r="D23" s="35" t="s">
        <v>52</v>
      </c>
      <c r="E23" s="36">
        <v>150</v>
      </c>
      <c r="F23" s="23">
        <v>0</v>
      </c>
      <c r="G23" s="35" t="s">
        <v>210</v>
      </c>
      <c r="H23" s="35">
        <v>100</v>
      </c>
      <c r="I23" s="35" t="s">
        <v>221</v>
      </c>
      <c r="J23" s="35">
        <v>50</v>
      </c>
    </row>
    <row r="24" spans="1:10" s="5" customFormat="1" ht="15.6" x14ac:dyDescent="0.25">
      <c r="A24" s="23">
        <v>18</v>
      </c>
      <c r="B24" s="27" t="s">
        <v>13</v>
      </c>
      <c r="C24" s="37" t="s">
        <v>102</v>
      </c>
      <c r="D24" s="38" t="s">
        <v>103</v>
      </c>
      <c r="E24" s="36">
        <v>150</v>
      </c>
      <c r="F24" s="23">
        <v>0</v>
      </c>
      <c r="G24" s="38" t="s">
        <v>210</v>
      </c>
      <c r="H24" s="38">
        <v>100</v>
      </c>
      <c r="I24" s="35" t="s">
        <v>220</v>
      </c>
      <c r="J24" s="38">
        <v>50</v>
      </c>
    </row>
    <row r="25" spans="1:10" s="1" customFormat="1" ht="15.6" x14ac:dyDescent="0.25">
      <c r="A25" s="23">
        <v>19</v>
      </c>
      <c r="B25" s="27" t="s">
        <v>101</v>
      </c>
      <c r="C25" s="34" t="s">
        <v>152</v>
      </c>
      <c r="D25" s="35" t="s">
        <v>153</v>
      </c>
      <c r="E25" s="36">
        <v>70</v>
      </c>
      <c r="F25" s="23">
        <v>0</v>
      </c>
      <c r="G25" s="35" t="s">
        <v>210</v>
      </c>
      <c r="H25" s="35">
        <v>70</v>
      </c>
      <c r="I25" s="35" t="s">
        <v>58</v>
      </c>
      <c r="J25" s="35" t="s">
        <v>58</v>
      </c>
    </row>
    <row r="26" spans="1:10" s="1" customFormat="1" ht="15.6" x14ac:dyDescent="0.25">
      <c r="A26" s="23">
        <v>20</v>
      </c>
      <c r="B26" s="27" t="s">
        <v>104</v>
      </c>
      <c r="C26" s="34" t="s">
        <v>105</v>
      </c>
      <c r="D26" s="35"/>
      <c r="E26" s="36">
        <v>50</v>
      </c>
      <c r="F26" s="23">
        <v>0</v>
      </c>
      <c r="G26" s="35" t="s">
        <v>222</v>
      </c>
      <c r="H26" s="35">
        <v>50</v>
      </c>
      <c r="I26" s="35" t="s">
        <v>58</v>
      </c>
      <c r="J26" s="35" t="s">
        <v>58</v>
      </c>
    </row>
    <row r="27" spans="1:10" s="1" customFormat="1" ht="15.6" x14ac:dyDescent="0.25">
      <c r="A27" s="23">
        <v>21</v>
      </c>
      <c r="B27" s="27" t="s">
        <v>106</v>
      </c>
      <c r="C27" s="34" t="s">
        <v>107</v>
      </c>
      <c r="D27" s="35" t="s">
        <v>154</v>
      </c>
      <c r="E27" s="36">
        <v>50</v>
      </c>
      <c r="F27" s="23">
        <v>0</v>
      </c>
      <c r="G27" s="35" t="s">
        <v>223</v>
      </c>
      <c r="H27" s="35">
        <v>50</v>
      </c>
      <c r="I27" s="35" t="s">
        <v>58</v>
      </c>
      <c r="J27" s="35" t="s">
        <v>58</v>
      </c>
    </row>
    <row r="28" spans="1:10" s="1" customFormat="1" ht="15.6" x14ac:dyDescent="0.25">
      <c r="A28" s="23">
        <v>22</v>
      </c>
      <c r="B28" s="39" t="s">
        <v>60</v>
      </c>
      <c r="C28" s="34" t="s">
        <v>57</v>
      </c>
      <c r="D28" s="35" t="s">
        <v>59</v>
      </c>
      <c r="E28" s="36">
        <v>440</v>
      </c>
      <c r="F28" s="23">
        <v>0</v>
      </c>
      <c r="G28" s="35" t="s">
        <v>224</v>
      </c>
      <c r="H28" s="35">
        <v>190</v>
      </c>
      <c r="I28" s="35" t="s">
        <v>218</v>
      </c>
      <c r="J28" s="35">
        <v>250</v>
      </c>
    </row>
    <row r="29" spans="1:10" s="1" customFormat="1" ht="15.6" x14ac:dyDescent="0.25">
      <c r="A29" s="23">
        <v>23</v>
      </c>
      <c r="B29" s="39" t="s">
        <v>61</v>
      </c>
      <c r="C29" s="34" t="s">
        <v>62</v>
      </c>
      <c r="D29" s="35" t="s">
        <v>63</v>
      </c>
      <c r="E29" s="36">
        <v>125</v>
      </c>
      <c r="F29" s="23">
        <v>0</v>
      </c>
      <c r="G29" s="35" t="s">
        <v>224</v>
      </c>
      <c r="H29" s="35">
        <v>75</v>
      </c>
      <c r="I29" s="35" t="s">
        <v>218</v>
      </c>
      <c r="J29" s="35">
        <v>50</v>
      </c>
    </row>
    <row r="30" spans="1:10" s="1" customFormat="1" ht="15.6" x14ac:dyDescent="0.25">
      <c r="A30" s="23">
        <v>23</v>
      </c>
      <c r="B30" s="39" t="s">
        <v>61</v>
      </c>
      <c r="C30" s="34" t="s">
        <v>62</v>
      </c>
      <c r="D30" s="35" t="s">
        <v>63</v>
      </c>
      <c r="E30" s="36">
        <v>125</v>
      </c>
      <c r="F30" s="23">
        <v>0</v>
      </c>
      <c r="G30" s="35" t="s">
        <v>224</v>
      </c>
      <c r="H30" s="35">
        <v>75</v>
      </c>
      <c r="I30" s="35" t="s">
        <v>218</v>
      </c>
      <c r="J30" s="35">
        <v>50</v>
      </c>
    </row>
    <row r="31" spans="1:10" s="1" customFormat="1" ht="15.6" x14ac:dyDescent="0.25">
      <c r="A31" s="23">
        <v>24</v>
      </c>
      <c r="B31" s="39" t="s">
        <v>111</v>
      </c>
      <c r="C31" s="34" t="s">
        <v>64</v>
      </c>
      <c r="D31" s="35" t="s">
        <v>65</v>
      </c>
      <c r="E31" s="36">
        <v>180</v>
      </c>
      <c r="F31" s="23">
        <v>0</v>
      </c>
      <c r="G31" s="35" t="s">
        <v>225</v>
      </c>
      <c r="H31" s="35">
        <v>130</v>
      </c>
      <c r="I31" s="35" t="s">
        <v>220</v>
      </c>
      <c r="J31" s="35">
        <v>50</v>
      </c>
    </row>
    <row r="32" spans="1:10" s="1" customFormat="1" ht="15.6" x14ac:dyDescent="0.25">
      <c r="A32" s="23">
        <v>25</v>
      </c>
      <c r="B32" s="39" t="s">
        <v>110</v>
      </c>
      <c r="C32" s="34" t="s">
        <v>99</v>
      </c>
      <c r="D32" s="35" t="s">
        <v>100</v>
      </c>
      <c r="E32" s="36">
        <v>100</v>
      </c>
      <c r="F32" s="23">
        <v>0</v>
      </c>
      <c r="G32" s="40" t="s">
        <v>225</v>
      </c>
      <c r="H32" s="35">
        <v>50</v>
      </c>
      <c r="I32" s="35" t="s">
        <v>228</v>
      </c>
      <c r="J32" s="35">
        <v>50</v>
      </c>
    </row>
    <row r="33" spans="1:10" s="1" customFormat="1" ht="15.6" x14ac:dyDescent="0.25">
      <c r="A33" s="23">
        <v>26</v>
      </c>
      <c r="B33" s="39" t="s">
        <v>108</v>
      </c>
      <c r="C33" s="34" t="s">
        <v>109</v>
      </c>
      <c r="D33" s="35" t="s">
        <v>114</v>
      </c>
      <c r="E33" s="36">
        <v>75</v>
      </c>
      <c r="F33" s="23">
        <v>0</v>
      </c>
      <c r="G33" s="35" t="s">
        <v>210</v>
      </c>
      <c r="H33" s="35">
        <v>75</v>
      </c>
      <c r="I33" s="35" t="s">
        <v>58</v>
      </c>
      <c r="J33" s="35" t="s">
        <v>58</v>
      </c>
    </row>
    <row r="34" spans="1:10" s="1" customFormat="1" ht="15.6" x14ac:dyDescent="0.25">
      <c r="A34" s="23">
        <v>27</v>
      </c>
      <c r="B34" s="39" t="s">
        <v>112</v>
      </c>
      <c r="C34" s="34" t="s">
        <v>113</v>
      </c>
      <c r="D34" s="35" t="s">
        <v>168</v>
      </c>
      <c r="E34" s="36">
        <v>100</v>
      </c>
      <c r="F34" s="23">
        <v>0</v>
      </c>
      <c r="G34" s="35" t="s">
        <v>223</v>
      </c>
      <c r="H34" s="35">
        <v>80</v>
      </c>
      <c r="I34" s="35" t="s">
        <v>220</v>
      </c>
      <c r="J34" s="35">
        <v>20</v>
      </c>
    </row>
    <row r="35" spans="1:10" s="1" customFormat="1" ht="15.6" x14ac:dyDescent="0.25">
      <c r="A35" s="23">
        <v>28</v>
      </c>
      <c r="B35" s="39" t="s">
        <v>170</v>
      </c>
      <c r="C35" s="34" t="s">
        <v>171</v>
      </c>
      <c r="D35" s="35" t="s">
        <v>169</v>
      </c>
      <c r="E35" s="36">
        <v>50</v>
      </c>
      <c r="F35" s="23">
        <v>0</v>
      </c>
      <c r="G35" s="35" t="s">
        <v>223</v>
      </c>
      <c r="H35" s="35">
        <v>50</v>
      </c>
      <c r="I35" s="35" t="s">
        <v>58</v>
      </c>
      <c r="J35" s="35" t="s">
        <v>58</v>
      </c>
    </row>
    <row r="36" spans="1:10" s="1" customFormat="1" ht="15.6" x14ac:dyDescent="0.25">
      <c r="A36" s="23">
        <v>29</v>
      </c>
      <c r="B36" s="39" t="s">
        <v>115</v>
      </c>
      <c r="C36" s="34" t="s">
        <v>116</v>
      </c>
      <c r="D36" s="35" t="s">
        <v>117</v>
      </c>
      <c r="E36" s="36">
        <v>120</v>
      </c>
      <c r="F36" s="23">
        <v>0</v>
      </c>
      <c r="G36" s="35" t="s">
        <v>223</v>
      </c>
      <c r="H36" s="35">
        <v>100</v>
      </c>
      <c r="I36" s="35" t="s">
        <v>220</v>
      </c>
      <c r="J36" s="35">
        <v>20</v>
      </c>
    </row>
    <row r="37" spans="1:10" s="1" customFormat="1" ht="15.6" x14ac:dyDescent="0.25">
      <c r="A37" s="23">
        <v>30</v>
      </c>
      <c r="B37" s="39" t="s">
        <v>118</v>
      </c>
      <c r="C37" s="34" t="s">
        <v>119</v>
      </c>
      <c r="D37" s="35" t="s">
        <v>120</v>
      </c>
      <c r="E37" s="36">
        <v>100</v>
      </c>
      <c r="F37" s="23">
        <v>0</v>
      </c>
      <c r="G37" s="35" t="s">
        <v>226</v>
      </c>
      <c r="H37" s="35">
        <v>90</v>
      </c>
      <c r="I37" s="35" t="s">
        <v>229</v>
      </c>
      <c r="J37" s="35">
        <v>10</v>
      </c>
    </row>
    <row r="38" spans="1:10" s="1" customFormat="1" ht="15.6" x14ac:dyDescent="0.25">
      <c r="A38" s="23">
        <v>31</v>
      </c>
      <c r="B38" s="39" t="s">
        <v>121</v>
      </c>
      <c r="C38" s="34" t="s">
        <v>122</v>
      </c>
      <c r="D38" s="35" t="s">
        <v>123</v>
      </c>
      <c r="E38" s="36">
        <v>100</v>
      </c>
      <c r="F38" s="23">
        <v>0</v>
      </c>
      <c r="G38" s="35" t="s">
        <v>210</v>
      </c>
      <c r="H38" s="35">
        <v>50</v>
      </c>
      <c r="I38" s="35" t="s">
        <v>220</v>
      </c>
      <c r="J38" s="35">
        <v>50</v>
      </c>
    </row>
    <row r="39" spans="1:10" s="1" customFormat="1" ht="15.6" x14ac:dyDescent="0.25">
      <c r="A39" s="23">
        <v>32</v>
      </c>
      <c r="B39" s="39" t="s">
        <v>155</v>
      </c>
      <c r="C39" s="34" t="s">
        <v>156</v>
      </c>
      <c r="D39" s="35" t="s">
        <v>157</v>
      </c>
      <c r="E39" s="36">
        <v>150</v>
      </c>
      <c r="F39" s="23">
        <v>0</v>
      </c>
      <c r="G39" s="35" t="s">
        <v>227</v>
      </c>
      <c r="H39" s="35">
        <v>100</v>
      </c>
      <c r="I39" s="35" t="s">
        <v>221</v>
      </c>
      <c r="J39" s="35">
        <v>50</v>
      </c>
    </row>
    <row r="40" spans="1:10" s="1" customFormat="1" ht="15.6" x14ac:dyDescent="0.25">
      <c r="A40" s="23">
        <v>33</v>
      </c>
      <c r="B40" s="39" t="s">
        <v>172</v>
      </c>
      <c r="C40" s="34" t="s">
        <v>173</v>
      </c>
      <c r="D40" s="35" t="s">
        <v>174</v>
      </c>
      <c r="E40" s="36">
        <v>90</v>
      </c>
      <c r="F40" s="23">
        <v>0</v>
      </c>
      <c r="G40" s="35" t="s">
        <v>226</v>
      </c>
      <c r="H40" s="35">
        <v>90</v>
      </c>
      <c r="I40" s="35" t="s">
        <v>58</v>
      </c>
      <c r="J40" s="35" t="s">
        <v>58</v>
      </c>
    </row>
    <row r="41" spans="1:10" s="1" customFormat="1" ht="15.6" x14ac:dyDescent="0.25">
      <c r="A41" s="23"/>
      <c r="B41" s="39"/>
      <c r="C41" s="39"/>
      <c r="D41" s="39"/>
      <c r="E41" s="41">
        <f>SUM(E22:E40)</f>
        <v>2725</v>
      </c>
      <c r="F41" s="41"/>
      <c r="G41" s="35"/>
      <c r="H41" s="8">
        <v>1950</v>
      </c>
      <c r="I41" s="35"/>
      <c r="J41" s="8">
        <v>650</v>
      </c>
    </row>
    <row r="42" spans="1:10" s="1" customFormat="1" ht="30" customHeight="1" x14ac:dyDescent="0.25">
      <c r="A42" s="32" t="s">
        <v>202</v>
      </c>
      <c r="B42" s="33"/>
      <c r="C42" s="33"/>
      <c r="D42" s="33"/>
      <c r="E42" s="33"/>
      <c r="F42" s="33"/>
      <c r="G42" s="33"/>
      <c r="H42" s="33"/>
      <c r="I42" s="33"/>
      <c r="J42" s="33"/>
    </row>
    <row r="43" spans="1:10" s="1" customFormat="1" ht="15.6" x14ac:dyDescent="0.25">
      <c r="A43" s="23">
        <v>34</v>
      </c>
      <c r="B43" s="24" t="s">
        <v>3</v>
      </c>
      <c r="C43" s="25" t="s">
        <v>30</v>
      </c>
      <c r="D43" s="35" t="s">
        <v>53</v>
      </c>
      <c r="E43" s="23">
        <v>100</v>
      </c>
      <c r="F43" s="23">
        <v>0</v>
      </c>
      <c r="G43" s="26" t="s">
        <v>210</v>
      </c>
      <c r="H43" s="35">
        <v>50</v>
      </c>
      <c r="I43" s="35" t="s">
        <v>237</v>
      </c>
      <c r="J43" s="35">
        <v>50</v>
      </c>
    </row>
    <row r="44" spans="1:10" s="1" customFormat="1" ht="15.6" x14ac:dyDescent="0.25">
      <c r="A44" s="23">
        <v>35</v>
      </c>
      <c r="B44" s="24" t="s">
        <v>162</v>
      </c>
      <c r="C44" s="25" t="s">
        <v>163</v>
      </c>
      <c r="D44" s="35" t="s">
        <v>164</v>
      </c>
      <c r="E44" s="23">
        <v>50</v>
      </c>
      <c r="F44" s="23">
        <v>0</v>
      </c>
      <c r="G44" s="26" t="s">
        <v>210</v>
      </c>
      <c r="H44" s="35">
        <v>50</v>
      </c>
      <c r="I44" s="35"/>
      <c r="J44" s="35" t="s">
        <v>58</v>
      </c>
    </row>
    <row r="45" spans="1:10" s="1" customFormat="1" ht="15.6" x14ac:dyDescent="0.25">
      <c r="A45" s="23">
        <v>36</v>
      </c>
      <c r="B45" s="24" t="s">
        <v>4</v>
      </c>
      <c r="C45" s="25" t="s">
        <v>31</v>
      </c>
      <c r="D45" s="35" t="s">
        <v>54</v>
      </c>
      <c r="E45" s="23">
        <v>69</v>
      </c>
      <c r="F45" s="23">
        <v>0</v>
      </c>
      <c r="G45" s="26" t="s">
        <v>210</v>
      </c>
      <c r="H45" s="35">
        <v>50</v>
      </c>
      <c r="I45" s="35" t="s">
        <v>238</v>
      </c>
      <c r="J45" s="35">
        <v>19</v>
      </c>
    </row>
    <row r="46" spans="1:10" s="1" customFormat="1" ht="15.6" x14ac:dyDescent="0.25">
      <c r="A46" s="23">
        <v>37</v>
      </c>
      <c r="B46" s="27" t="s">
        <v>10</v>
      </c>
      <c r="C46" s="25" t="s">
        <v>36</v>
      </c>
      <c r="D46" s="35" t="s">
        <v>55</v>
      </c>
      <c r="E46" s="23">
        <v>100</v>
      </c>
      <c r="F46" s="23">
        <v>0</v>
      </c>
      <c r="G46" s="26" t="s">
        <v>232</v>
      </c>
      <c r="H46" s="35">
        <v>90</v>
      </c>
      <c r="I46" s="35" t="s">
        <v>219</v>
      </c>
      <c r="J46" s="35">
        <v>10</v>
      </c>
    </row>
    <row r="47" spans="1:10" s="1" customFormat="1" ht="15.6" x14ac:dyDescent="0.25">
      <c r="A47" s="23">
        <v>38</v>
      </c>
      <c r="B47" s="27" t="s">
        <v>17</v>
      </c>
      <c r="C47" s="25" t="s">
        <v>80</v>
      </c>
      <c r="D47" s="35" t="s">
        <v>56</v>
      </c>
      <c r="E47" s="23">
        <v>300</v>
      </c>
      <c r="F47" s="23">
        <v>0</v>
      </c>
      <c r="G47" s="26" t="s">
        <v>225</v>
      </c>
      <c r="H47" s="35">
        <v>200</v>
      </c>
      <c r="I47" s="35" t="s">
        <v>218</v>
      </c>
      <c r="J47" s="35">
        <v>100</v>
      </c>
    </row>
    <row r="48" spans="1:10" s="1" customFormat="1" ht="15.6" x14ac:dyDescent="0.25">
      <c r="A48" s="23">
        <v>39</v>
      </c>
      <c r="B48" s="24" t="s">
        <v>18</v>
      </c>
      <c r="C48" s="34" t="s">
        <v>66</v>
      </c>
      <c r="D48" s="35" t="s">
        <v>67</v>
      </c>
      <c r="E48" s="23">
        <v>165</v>
      </c>
      <c r="F48" s="23">
        <v>0</v>
      </c>
      <c r="G48" s="26" t="s">
        <v>223</v>
      </c>
      <c r="H48" s="35">
        <v>100</v>
      </c>
      <c r="I48" s="35" t="s">
        <v>220</v>
      </c>
      <c r="J48" s="35">
        <v>65</v>
      </c>
    </row>
    <row r="49" spans="1:10" s="1" customFormat="1" ht="15.6" x14ac:dyDescent="0.25">
      <c r="A49" s="23">
        <v>40</v>
      </c>
      <c r="B49" s="24" t="s">
        <v>72</v>
      </c>
      <c r="C49" s="34" t="s">
        <v>73</v>
      </c>
      <c r="D49" s="35" t="s">
        <v>74</v>
      </c>
      <c r="E49" s="23">
        <v>181</v>
      </c>
      <c r="F49" s="23">
        <v>0</v>
      </c>
      <c r="G49" s="26"/>
      <c r="H49" s="35">
        <v>156</v>
      </c>
      <c r="I49" s="35" t="s">
        <v>220</v>
      </c>
      <c r="J49" s="35">
        <v>25</v>
      </c>
    </row>
    <row r="50" spans="1:10" s="1" customFormat="1" ht="15.6" x14ac:dyDescent="0.25">
      <c r="A50" s="23">
        <v>41</v>
      </c>
      <c r="B50" s="24" t="s">
        <v>19</v>
      </c>
      <c r="C50" s="34" t="s">
        <v>68</v>
      </c>
      <c r="D50" s="35" t="s">
        <v>69</v>
      </c>
      <c r="E50" s="23">
        <v>200</v>
      </c>
      <c r="F50" s="23">
        <v>0</v>
      </c>
      <c r="G50" s="26" t="s">
        <v>212</v>
      </c>
      <c r="H50" s="35">
        <v>170</v>
      </c>
      <c r="I50" s="35" t="s">
        <v>220</v>
      </c>
      <c r="J50" s="35">
        <v>30</v>
      </c>
    </row>
    <row r="51" spans="1:10" s="1" customFormat="1" ht="15.6" x14ac:dyDescent="0.25">
      <c r="A51" s="23">
        <v>42</v>
      </c>
      <c r="B51" s="24" t="s">
        <v>20</v>
      </c>
      <c r="C51" s="34" t="s">
        <v>70</v>
      </c>
      <c r="D51" s="35" t="s">
        <v>71</v>
      </c>
      <c r="E51" s="23">
        <v>120</v>
      </c>
      <c r="F51" s="23">
        <v>0</v>
      </c>
      <c r="G51" s="26"/>
      <c r="H51" s="35">
        <v>95</v>
      </c>
      <c r="I51" s="35" t="s">
        <v>220</v>
      </c>
      <c r="J51" s="35">
        <v>25</v>
      </c>
    </row>
    <row r="52" spans="1:10" s="1" customFormat="1" ht="15.6" x14ac:dyDescent="0.25">
      <c r="A52" s="23">
        <v>43</v>
      </c>
      <c r="B52" s="24" t="s">
        <v>75</v>
      </c>
      <c r="C52" s="34" t="s">
        <v>76</v>
      </c>
      <c r="D52" s="35" t="s">
        <v>77</v>
      </c>
      <c r="E52" s="23">
        <v>230</v>
      </c>
      <c r="F52" s="23">
        <v>0</v>
      </c>
      <c r="G52" s="26" t="s">
        <v>230</v>
      </c>
      <c r="H52" s="26">
        <v>100</v>
      </c>
      <c r="I52" s="35" t="s">
        <v>220</v>
      </c>
      <c r="J52" s="35">
        <v>130</v>
      </c>
    </row>
    <row r="53" spans="1:10" s="1" customFormat="1" ht="15.6" x14ac:dyDescent="0.25">
      <c r="A53" s="23">
        <v>44</v>
      </c>
      <c r="B53" s="24" t="s">
        <v>78</v>
      </c>
      <c r="C53" s="34" t="s">
        <v>79</v>
      </c>
      <c r="D53" s="35"/>
      <c r="E53" s="23">
        <v>276</v>
      </c>
      <c r="F53" s="23">
        <v>0</v>
      </c>
      <c r="G53" s="26" t="s">
        <v>223</v>
      </c>
      <c r="H53" s="35">
        <v>250</v>
      </c>
      <c r="I53" s="35">
        <v>26</v>
      </c>
      <c r="J53" s="35">
        <v>26</v>
      </c>
    </row>
    <row r="54" spans="1:10" s="1" customFormat="1" ht="15.6" x14ac:dyDescent="0.25">
      <c r="A54" s="23">
        <v>45</v>
      </c>
      <c r="B54" s="24" t="s">
        <v>124</v>
      </c>
      <c r="C54" s="34" t="s">
        <v>125</v>
      </c>
      <c r="D54" s="35" t="s">
        <v>126</v>
      </c>
      <c r="E54" s="23">
        <v>204</v>
      </c>
      <c r="F54" s="23">
        <v>0</v>
      </c>
      <c r="G54" s="26" t="s">
        <v>223</v>
      </c>
      <c r="H54" s="35">
        <v>204</v>
      </c>
      <c r="I54" s="35" t="s">
        <v>58</v>
      </c>
      <c r="J54" s="35" t="s">
        <v>58</v>
      </c>
    </row>
    <row r="55" spans="1:10" s="1" customFormat="1" ht="15.6" x14ac:dyDescent="0.25">
      <c r="A55" s="23">
        <v>46</v>
      </c>
      <c r="B55" s="24" t="s">
        <v>127</v>
      </c>
      <c r="C55" s="34" t="s">
        <v>128</v>
      </c>
      <c r="D55" s="35" t="s">
        <v>129</v>
      </c>
      <c r="E55" s="23">
        <v>120</v>
      </c>
      <c r="F55" s="23">
        <v>0</v>
      </c>
      <c r="G55" s="26" t="s">
        <v>224</v>
      </c>
      <c r="H55" s="35">
        <v>120</v>
      </c>
      <c r="I55" s="35" t="s">
        <v>58</v>
      </c>
      <c r="J55" s="35" t="s">
        <v>58</v>
      </c>
    </row>
    <row r="56" spans="1:10" s="1" customFormat="1" ht="15.6" x14ac:dyDescent="0.25">
      <c r="A56" s="23">
        <v>47</v>
      </c>
      <c r="B56" s="24" t="s">
        <v>130</v>
      </c>
      <c r="C56" s="34" t="s">
        <v>131</v>
      </c>
      <c r="D56" s="35" t="s">
        <v>132</v>
      </c>
      <c r="E56" s="23">
        <v>100</v>
      </c>
      <c r="F56" s="23">
        <v>0</v>
      </c>
      <c r="G56" s="26" t="s">
        <v>234</v>
      </c>
      <c r="H56" s="35">
        <v>100</v>
      </c>
      <c r="I56" s="35" t="s">
        <v>58</v>
      </c>
      <c r="J56" s="35" t="s">
        <v>58</v>
      </c>
    </row>
    <row r="57" spans="1:10" s="1" customFormat="1" ht="15.6" x14ac:dyDescent="0.25">
      <c r="A57" s="23">
        <v>48</v>
      </c>
      <c r="B57" s="24" t="s">
        <v>133</v>
      </c>
      <c r="C57" s="34" t="s">
        <v>134</v>
      </c>
      <c r="D57" s="35" t="s">
        <v>135</v>
      </c>
      <c r="E57" s="23">
        <v>180</v>
      </c>
      <c r="F57" s="23">
        <v>0</v>
      </c>
      <c r="G57" s="26" t="s">
        <v>235</v>
      </c>
      <c r="H57" s="35">
        <v>175</v>
      </c>
      <c r="I57" s="35" t="s">
        <v>220</v>
      </c>
      <c r="J57" s="35">
        <v>5</v>
      </c>
    </row>
    <row r="58" spans="1:10" s="1" customFormat="1" ht="15.6" x14ac:dyDescent="0.25">
      <c r="A58" s="23">
        <v>49</v>
      </c>
      <c r="B58" s="24" t="s">
        <v>136</v>
      </c>
      <c r="C58" s="34"/>
      <c r="D58" s="35" t="s">
        <v>137</v>
      </c>
      <c r="E58" s="23">
        <v>90</v>
      </c>
      <c r="F58" s="23">
        <v>0</v>
      </c>
      <c r="G58" s="26" t="s">
        <v>233</v>
      </c>
      <c r="H58" s="35">
        <v>90</v>
      </c>
      <c r="I58" s="35" t="s">
        <v>58</v>
      </c>
      <c r="J58" s="35" t="s">
        <v>58</v>
      </c>
    </row>
    <row r="59" spans="1:10" s="1" customFormat="1" ht="15.6" x14ac:dyDescent="0.25">
      <c r="A59" s="23">
        <v>50</v>
      </c>
      <c r="B59" s="24" t="s">
        <v>138</v>
      </c>
      <c r="C59" s="34" t="s">
        <v>139</v>
      </c>
      <c r="D59" s="35" t="s">
        <v>140</v>
      </c>
      <c r="E59" s="23">
        <v>90</v>
      </c>
      <c r="F59" s="23">
        <v>0</v>
      </c>
      <c r="G59" s="26" t="s">
        <v>236</v>
      </c>
      <c r="H59" s="26">
        <v>60</v>
      </c>
      <c r="I59" s="35" t="s">
        <v>220</v>
      </c>
      <c r="J59" s="35">
        <v>30</v>
      </c>
    </row>
    <row r="60" spans="1:10" s="1" customFormat="1" ht="15.6" x14ac:dyDescent="0.25">
      <c r="A60" s="23">
        <v>51</v>
      </c>
      <c r="B60" s="24" t="s">
        <v>141</v>
      </c>
      <c r="C60" s="34" t="s">
        <v>142</v>
      </c>
      <c r="D60" s="35" t="s">
        <v>143</v>
      </c>
      <c r="E60" s="23">
        <v>140</v>
      </c>
      <c r="F60" s="23">
        <v>0</v>
      </c>
      <c r="G60" s="26" t="s">
        <v>231</v>
      </c>
      <c r="H60" s="35">
        <v>140</v>
      </c>
      <c r="I60" s="35" t="s">
        <v>58</v>
      </c>
      <c r="J60" s="35" t="s">
        <v>58</v>
      </c>
    </row>
    <row r="61" spans="1:10" s="1" customFormat="1" ht="15.6" x14ac:dyDescent="0.25">
      <c r="A61" s="23">
        <v>52</v>
      </c>
      <c r="B61" s="24" t="s">
        <v>144</v>
      </c>
      <c r="C61" s="34" t="s">
        <v>146</v>
      </c>
      <c r="D61" s="35" t="s">
        <v>145</v>
      </c>
      <c r="E61" s="23">
        <v>150</v>
      </c>
      <c r="F61" s="23">
        <v>0</v>
      </c>
      <c r="G61" s="26" t="s">
        <v>210</v>
      </c>
      <c r="H61" s="35">
        <v>110</v>
      </c>
      <c r="I61" s="35" t="s">
        <v>220</v>
      </c>
      <c r="J61" s="35">
        <v>40</v>
      </c>
    </row>
    <row r="62" spans="1:10" s="1" customFormat="1" ht="15.6" x14ac:dyDescent="0.25">
      <c r="A62" s="23">
        <v>53</v>
      </c>
      <c r="B62" s="24" t="s">
        <v>147</v>
      </c>
      <c r="C62" s="34" t="s">
        <v>148</v>
      </c>
      <c r="D62" s="35" t="s">
        <v>149</v>
      </c>
      <c r="E62" s="23">
        <v>40</v>
      </c>
      <c r="F62" s="23">
        <v>0</v>
      </c>
      <c r="G62" s="26" t="s">
        <v>211</v>
      </c>
      <c r="H62" s="35">
        <v>40</v>
      </c>
      <c r="I62" s="35" t="s">
        <v>58</v>
      </c>
      <c r="J62" s="35" t="s">
        <v>58</v>
      </c>
    </row>
    <row r="63" spans="1:10" s="1" customFormat="1" ht="15.6" x14ac:dyDescent="0.25">
      <c r="A63" s="23">
        <v>54</v>
      </c>
      <c r="B63" s="24" t="s">
        <v>205</v>
      </c>
      <c r="C63" s="34" t="s">
        <v>150</v>
      </c>
      <c r="D63" s="35" t="s">
        <v>151</v>
      </c>
      <c r="E63" s="23">
        <v>95</v>
      </c>
      <c r="F63" s="23">
        <v>0</v>
      </c>
      <c r="G63" s="26" t="s">
        <v>211</v>
      </c>
      <c r="H63" s="35">
        <v>95</v>
      </c>
      <c r="I63" s="35" t="s">
        <v>58</v>
      </c>
      <c r="J63" s="35" t="s">
        <v>58</v>
      </c>
    </row>
    <row r="64" spans="1:10" s="1" customFormat="1" ht="18.45" customHeight="1" x14ac:dyDescent="0.25">
      <c r="A64" s="23"/>
      <c r="B64" s="24"/>
      <c r="C64" s="24"/>
      <c r="D64" s="35"/>
      <c r="E64" s="7">
        <f>SUM(E43:E63)</f>
        <v>3000</v>
      </c>
      <c r="F64" s="7"/>
      <c r="G64" s="26"/>
      <c r="H64" s="8">
        <v>2445</v>
      </c>
      <c r="I64" s="35"/>
      <c r="J64" s="8">
        <v>555</v>
      </c>
    </row>
    <row r="65" spans="1:10" s="1" customFormat="1" ht="30" customHeight="1" x14ac:dyDescent="0.25">
      <c r="A65" s="42" t="s">
        <v>206</v>
      </c>
      <c r="B65" s="42"/>
      <c r="C65" s="42"/>
      <c r="D65" s="42"/>
      <c r="E65" s="42"/>
      <c r="F65" s="42"/>
      <c r="G65" s="42"/>
      <c r="H65" s="42"/>
      <c r="I65" s="42"/>
      <c r="J65" s="42"/>
    </row>
    <row r="66" spans="1:10" ht="15.6" x14ac:dyDescent="0.3">
      <c r="A66" s="23">
        <v>55</v>
      </c>
      <c r="B66" s="24" t="s">
        <v>81</v>
      </c>
      <c r="C66" s="37" t="s">
        <v>82</v>
      </c>
      <c r="D66" s="43">
        <v>3499635315</v>
      </c>
      <c r="E66" s="23">
        <v>130</v>
      </c>
      <c r="F66" s="23">
        <v>0</v>
      </c>
      <c r="G66" s="43" t="s">
        <v>239</v>
      </c>
      <c r="H66" s="38">
        <v>126</v>
      </c>
      <c r="I66" s="38" t="s">
        <v>220</v>
      </c>
      <c r="J66" s="43">
        <v>4</v>
      </c>
    </row>
    <row r="67" spans="1:10" ht="15.6" x14ac:dyDescent="0.3">
      <c r="A67" s="23">
        <v>56</v>
      </c>
      <c r="B67" s="24" t="s">
        <v>83</v>
      </c>
      <c r="C67" s="37" t="s">
        <v>86</v>
      </c>
      <c r="D67" s="43">
        <v>3057994353</v>
      </c>
      <c r="E67" s="23">
        <v>195</v>
      </c>
      <c r="F67" s="23">
        <v>0</v>
      </c>
      <c r="G67" s="43" t="s">
        <v>212</v>
      </c>
      <c r="H67" s="38">
        <v>165</v>
      </c>
      <c r="I67" s="38" t="s">
        <v>241</v>
      </c>
      <c r="J67" s="43">
        <v>30</v>
      </c>
    </row>
    <row r="68" spans="1:10" ht="15.6" x14ac:dyDescent="0.3">
      <c r="A68" s="23">
        <v>57</v>
      </c>
      <c r="B68" s="24" t="s">
        <v>85</v>
      </c>
      <c r="C68" s="37" t="s">
        <v>84</v>
      </c>
      <c r="D68" s="43">
        <v>3462588337</v>
      </c>
      <c r="E68" s="23">
        <v>75</v>
      </c>
      <c r="F68" s="23">
        <v>0</v>
      </c>
      <c r="G68" s="43" t="s">
        <v>240</v>
      </c>
      <c r="H68" s="38">
        <v>75</v>
      </c>
      <c r="I68" s="38" t="s">
        <v>58</v>
      </c>
      <c r="J68" s="43" t="s">
        <v>58</v>
      </c>
    </row>
    <row r="69" spans="1:10" ht="15.6" x14ac:dyDescent="0.3">
      <c r="A69" s="23">
        <v>58</v>
      </c>
      <c r="B69" s="24" t="s">
        <v>87</v>
      </c>
      <c r="C69" s="37" t="s">
        <v>88</v>
      </c>
      <c r="D69" s="43">
        <v>3467541318</v>
      </c>
      <c r="E69" s="23">
        <v>60</v>
      </c>
      <c r="F69" s="23">
        <v>0</v>
      </c>
      <c r="G69" s="43">
        <v>60</v>
      </c>
      <c r="H69" s="38">
        <v>60</v>
      </c>
      <c r="I69" s="38" t="s">
        <v>58</v>
      </c>
      <c r="J69" s="43" t="s">
        <v>58</v>
      </c>
    </row>
    <row r="70" spans="1:10" ht="15.6" x14ac:dyDescent="0.3">
      <c r="A70" s="23">
        <v>59</v>
      </c>
      <c r="B70" s="24" t="s">
        <v>89</v>
      </c>
      <c r="C70" s="44" t="s">
        <v>91</v>
      </c>
      <c r="D70" s="43">
        <v>3456010531</v>
      </c>
      <c r="E70" s="23">
        <v>140</v>
      </c>
      <c r="F70" s="23">
        <v>0</v>
      </c>
      <c r="G70" s="43" t="s">
        <v>253</v>
      </c>
      <c r="H70" s="38">
        <v>140</v>
      </c>
      <c r="I70" s="38" t="s">
        <v>58</v>
      </c>
      <c r="J70" s="43" t="s">
        <v>58</v>
      </c>
    </row>
    <row r="71" spans="1:10" ht="15.6" x14ac:dyDescent="0.3">
      <c r="A71" s="23">
        <v>60</v>
      </c>
      <c r="B71" s="24" t="s">
        <v>90</v>
      </c>
      <c r="C71" s="37" t="s">
        <v>92</v>
      </c>
      <c r="D71" s="43">
        <v>3454831210</v>
      </c>
      <c r="E71" s="23">
        <v>260</v>
      </c>
      <c r="F71" s="23">
        <v>0</v>
      </c>
      <c r="G71" s="43" t="s">
        <v>210</v>
      </c>
      <c r="H71" s="38">
        <v>260</v>
      </c>
      <c r="I71" s="38" t="s">
        <v>58</v>
      </c>
      <c r="J71" s="43" t="s">
        <v>58</v>
      </c>
    </row>
    <row r="72" spans="1:10" s="1" customFormat="1" ht="18.45" customHeight="1" x14ac:dyDescent="0.3">
      <c r="A72" s="23"/>
      <c r="B72" s="24"/>
      <c r="C72" s="24"/>
      <c r="D72" s="24"/>
      <c r="E72" s="7">
        <f>SUM(E66:E71)</f>
        <v>860</v>
      </c>
      <c r="F72" s="7"/>
      <c r="G72" s="43"/>
      <c r="H72" s="8">
        <v>826</v>
      </c>
      <c r="I72" s="38">
        <v>34</v>
      </c>
      <c r="J72" s="8">
        <v>34</v>
      </c>
    </row>
    <row r="73" spans="1:10" s="1" customFormat="1" ht="33.450000000000003" customHeight="1" x14ac:dyDescent="0.25">
      <c r="A73" s="45" t="s">
        <v>208</v>
      </c>
      <c r="B73" s="46"/>
      <c r="C73" s="46"/>
      <c r="D73" s="46"/>
      <c r="E73" s="46"/>
      <c r="F73" s="46"/>
      <c r="G73" s="46"/>
      <c r="H73" s="46"/>
      <c r="I73" s="46"/>
      <c r="J73" s="46"/>
    </row>
    <row r="74" spans="1:10" s="1" customFormat="1" ht="15.6" x14ac:dyDescent="0.25">
      <c r="A74" s="34">
        <v>61</v>
      </c>
      <c r="B74" s="47" t="s">
        <v>176</v>
      </c>
      <c r="C74" s="48" t="s">
        <v>177</v>
      </c>
      <c r="D74" s="49">
        <v>3333840121</v>
      </c>
      <c r="E74" s="35">
        <v>4238</v>
      </c>
      <c r="F74" s="23">
        <v>764</v>
      </c>
      <c r="G74" s="34" t="s">
        <v>242</v>
      </c>
      <c r="H74" s="50">
        <v>400</v>
      </c>
      <c r="I74" s="50" t="s">
        <v>252</v>
      </c>
      <c r="J74" s="50">
        <v>2200</v>
      </c>
    </row>
    <row r="75" spans="1:10" s="1" customFormat="1" ht="15.6" x14ac:dyDescent="0.25">
      <c r="A75" s="34">
        <v>62</v>
      </c>
      <c r="B75" s="47" t="s">
        <v>178</v>
      </c>
      <c r="C75" s="48" t="s">
        <v>179</v>
      </c>
      <c r="D75" s="35">
        <v>3444922255</v>
      </c>
      <c r="E75" s="35">
        <v>270</v>
      </c>
      <c r="F75" s="23">
        <v>30</v>
      </c>
      <c r="G75" s="34" t="s">
        <v>243</v>
      </c>
      <c r="H75" s="50">
        <v>220</v>
      </c>
      <c r="I75" s="50" t="s">
        <v>220</v>
      </c>
      <c r="J75" s="50">
        <v>50</v>
      </c>
    </row>
    <row r="76" spans="1:10" s="1" customFormat="1" ht="15.6" x14ac:dyDescent="0.25">
      <c r="A76" s="34">
        <v>63</v>
      </c>
      <c r="B76" s="47" t="s">
        <v>180</v>
      </c>
      <c r="C76" s="48" t="s">
        <v>181</v>
      </c>
      <c r="D76" s="35">
        <v>3008488043</v>
      </c>
      <c r="E76" s="35">
        <v>746</v>
      </c>
      <c r="F76" s="23">
        <v>112</v>
      </c>
      <c r="G76" s="25" t="s">
        <v>244</v>
      </c>
      <c r="H76" s="50">
        <v>731</v>
      </c>
      <c r="I76" s="50" t="s">
        <v>220</v>
      </c>
      <c r="J76" s="50">
        <v>50</v>
      </c>
    </row>
    <row r="77" spans="1:10" s="1" customFormat="1" ht="15.6" x14ac:dyDescent="0.25">
      <c r="A77" s="34">
        <v>64</v>
      </c>
      <c r="B77" s="47" t="s">
        <v>182</v>
      </c>
      <c r="C77" s="35"/>
      <c r="D77" s="35">
        <v>3074426673</v>
      </c>
      <c r="E77" s="35">
        <v>880</v>
      </c>
      <c r="F77" s="23">
        <v>120</v>
      </c>
      <c r="G77" s="34" t="s">
        <v>245</v>
      </c>
      <c r="H77" s="50">
        <v>630</v>
      </c>
      <c r="I77" s="50" t="s">
        <v>220</v>
      </c>
      <c r="J77" s="50">
        <v>250</v>
      </c>
    </row>
    <row r="78" spans="1:10" s="1" customFormat="1" ht="31.2" x14ac:dyDescent="0.25">
      <c r="A78" s="34">
        <v>65</v>
      </c>
      <c r="B78" s="47" t="s">
        <v>183</v>
      </c>
      <c r="C78" s="35" t="s">
        <v>184</v>
      </c>
      <c r="D78" s="35">
        <v>3008685695</v>
      </c>
      <c r="E78" s="35">
        <v>430</v>
      </c>
      <c r="F78" s="23">
        <v>70</v>
      </c>
      <c r="G78" s="25" t="s">
        <v>246</v>
      </c>
      <c r="H78" s="50">
        <v>380</v>
      </c>
      <c r="I78" s="50" t="s">
        <v>220</v>
      </c>
      <c r="J78" s="50">
        <v>50</v>
      </c>
    </row>
    <row r="79" spans="1:10" s="1" customFormat="1" ht="15.6" x14ac:dyDescent="0.25">
      <c r="A79" s="34">
        <v>66</v>
      </c>
      <c r="B79" s="47" t="s">
        <v>185</v>
      </c>
      <c r="C79" s="48" t="s">
        <v>186</v>
      </c>
      <c r="D79" s="35">
        <v>3006812684</v>
      </c>
      <c r="E79" s="35">
        <v>900</v>
      </c>
      <c r="F79" s="23">
        <v>100</v>
      </c>
      <c r="G79" s="34" t="s">
        <v>247</v>
      </c>
      <c r="H79" s="50">
        <v>850</v>
      </c>
      <c r="I79" s="50" t="s">
        <v>220</v>
      </c>
      <c r="J79" s="50">
        <v>50</v>
      </c>
    </row>
    <row r="80" spans="1:10" s="1" customFormat="1" ht="15.6" x14ac:dyDescent="0.25">
      <c r="A80" s="34">
        <v>67</v>
      </c>
      <c r="B80" s="51" t="s">
        <v>187</v>
      </c>
      <c r="C80" s="48" t="s">
        <v>188</v>
      </c>
      <c r="D80" s="35">
        <v>3493026153</v>
      </c>
      <c r="E80" s="35">
        <v>1001</v>
      </c>
      <c r="F80" s="23"/>
      <c r="G80" s="34" t="s">
        <v>248</v>
      </c>
      <c r="H80" s="26">
        <v>501</v>
      </c>
      <c r="I80" s="50" t="s">
        <v>220</v>
      </c>
      <c r="J80" s="50">
        <v>500</v>
      </c>
    </row>
    <row r="81" spans="1:10" s="1" customFormat="1" ht="31.2" x14ac:dyDescent="0.25">
      <c r="A81" s="34">
        <v>68</v>
      </c>
      <c r="B81" s="47" t="s">
        <v>189</v>
      </c>
      <c r="C81" s="48" t="s">
        <v>190</v>
      </c>
      <c r="D81" s="35">
        <v>3030867884</v>
      </c>
      <c r="E81" s="35">
        <v>419</v>
      </c>
      <c r="F81" s="23"/>
      <c r="G81" s="25" t="s">
        <v>249</v>
      </c>
      <c r="H81" s="26">
        <v>219</v>
      </c>
      <c r="I81" s="50" t="s">
        <v>228</v>
      </c>
      <c r="J81" s="50">
        <v>200</v>
      </c>
    </row>
    <row r="82" spans="1:10" s="1" customFormat="1" ht="15.6" x14ac:dyDescent="0.25">
      <c r="A82" s="34">
        <v>69</v>
      </c>
      <c r="B82" s="47" t="s">
        <v>191</v>
      </c>
      <c r="C82" s="48" t="s">
        <v>192</v>
      </c>
      <c r="D82" s="35"/>
      <c r="E82" s="35">
        <v>50</v>
      </c>
      <c r="F82" s="23">
        <v>0</v>
      </c>
      <c r="G82" s="34" t="s">
        <v>250</v>
      </c>
      <c r="H82" s="26">
        <v>50</v>
      </c>
      <c r="I82" s="50" t="s">
        <v>58</v>
      </c>
      <c r="J82" s="26" t="s">
        <v>58</v>
      </c>
    </row>
    <row r="83" spans="1:10" s="1" customFormat="1" ht="15.6" x14ac:dyDescent="0.25">
      <c r="A83" s="34">
        <v>70</v>
      </c>
      <c r="B83" s="47" t="s">
        <v>193</v>
      </c>
      <c r="C83" s="48" t="s">
        <v>194</v>
      </c>
      <c r="D83" s="35">
        <v>3488032269</v>
      </c>
      <c r="E83" s="35">
        <v>85</v>
      </c>
      <c r="F83" s="23">
        <v>15</v>
      </c>
      <c r="G83" s="34" t="s">
        <v>251</v>
      </c>
      <c r="H83" s="26">
        <v>55</v>
      </c>
      <c r="I83" s="50" t="s">
        <v>219</v>
      </c>
      <c r="J83" s="50">
        <v>30</v>
      </c>
    </row>
    <row r="84" spans="1:10" s="1" customFormat="1" ht="15.6" x14ac:dyDescent="0.25">
      <c r="A84" s="34">
        <v>71</v>
      </c>
      <c r="B84" s="47" t="s">
        <v>195</v>
      </c>
      <c r="C84" s="48" t="s">
        <v>196</v>
      </c>
      <c r="D84" s="35">
        <v>3437191794</v>
      </c>
      <c r="E84" s="35">
        <v>45</v>
      </c>
      <c r="F84" s="23">
        <v>15</v>
      </c>
      <c r="G84" s="34" t="s">
        <v>250</v>
      </c>
      <c r="H84" s="50">
        <v>45</v>
      </c>
      <c r="I84" s="50" t="s">
        <v>58</v>
      </c>
      <c r="J84" s="50" t="s">
        <v>58</v>
      </c>
    </row>
    <row r="85" spans="1:10" s="1" customFormat="1" ht="15.6" x14ac:dyDescent="0.25">
      <c r="A85" s="34">
        <v>72</v>
      </c>
      <c r="B85" s="47" t="s">
        <v>197</v>
      </c>
      <c r="C85" s="48" t="s">
        <v>198</v>
      </c>
      <c r="D85" s="35">
        <v>3444391207</v>
      </c>
      <c r="E85" s="35">
        <v>80</v>
      </c>
      <c r="F85" s="7"/>
      <c r="G85" s="34" t="s">
        <v>250</v>
      </c>
      <c r="H85" s="50">
        <v>80</v>
      </c>
      <c r="I85" s="50" t="s">
        <v>58</v>
      </c>
      <c r="J85" s="50" t="s">
        <v>58</v>
      </c>
    </row>
    <row r="86" spans="1:10" s="1" customFormat="1" ht="15.6" x14ac:dyDescent="0.25">
      <c r="A86" s="34"/>
      <c r="B86" s="51"/>
      <c r="C86" s="48"/>
      <c r="D86" s="35"/>
      <c r="E86" s="7" t="s">
        <v>209</v>
      </c>
      <c r="F86" s="7">
        <f>SUM(F74:F85)</f>
        <v>1226</v>
      </c>
      <c r="G86" s="35"/>
      <c r="H86" s="8">
        <v>4161</v>
      </c>
      <c r="I86" s="8"/>
      <c r="J86" s="8" t="s">
        <v>200</v>
      </c>
    </row>
  </sheetData>
  <mergeCells count="13">
    <mergeCell ref="A73:J73"/>
    <mergeCell ref="A1:J1"/>
    <mergeCell ref="A65:J65"/>
    <mergeCell ref="A42:J42"/>
    <mergeCell ref="A21:J21"/>
    <mergeCell ref="E2:F2"/>
    <mergeCell ref="A20:D20"/>
    <mergeCell ref="G2:J2"/>
    <mergeCell ref="G3:H3"/>
    <mergeCell ref="I3:J3"/>
    <mergeCell ref="E3:E4"/>
    <mergeCell ref="F3:F4"/>
    <mergeCell ref="A3:D4"/>
  </mergeCells>
  <phoneticPr fontId="3" type="noConversion"/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 Detail - YEP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2025-11-10T06:48:12Z</dcterms:modified>
</cp:coreProperties>
</file>